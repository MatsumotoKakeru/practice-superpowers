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dev\practice-superpowers\docs\"/>
    </mc:Choice>
  </mc:AlternateContent>
  <xr:revisionPtr revIDLastSave="0" documentId="13_ncr:1_{445828AA-0F2E-4702-8DD2-C2DECDA1D3D4}" xr6:coauthVersionLast="47" xr6:coauthVersionMax="47" xr10:uidLastSave="{00000000-0000-0000-0000-000000000000}"/>
  <bookViews>
    <workbookView xWindow="19090" yWindow="-1250" windowWidth="19420" windowHeight="11500" xr2:uid="{12E644C4-C1A2-435B-AAA8-008123B6D444}"/>
  </bookViews>
  <sheets>
    <sheet name="開発フロー" sheetId="5" r:id="rId1"/>
    <sheet name="brainstorming" sheetId="2" r:id="rId2"/>
    <sheet name="receiving-code-review" sheetId="3" r:id="rId3"/>
    <sheet name="update-spec-after-review" sheetId="4" r:id="rId4"/>
    <sheet name="using-superpowers" sheetId="1" r:id="rId5"/>
    <sheet name="load-project-rul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3" i="5" l="1"/>
  <c r="E14" i="5"/>
  <c r="I2" i="5"/>
  <c r="E18" i="5"/>
  <c r="E17" i="5"/>
  <c r="E16" i="5"/>
  <c r="E15" i="5"/>
  <c r="E12" i="5"/>
  <c r="E11" i="5"/>
  <c r="E10" i="5"/>
  <c r="E9" i="5"/>
  <c r="E8" i="5"/>
  <c r="E7" i="5"/>
  <c r="E6" i="5"/>
  <c r="E5" i="5"/>
  <c r="E4" i="5"/>
  <c r="E3" i="5"/>
  <c r="E2" i="5"/>
  <c r="I9" i="5" l="1"/>
  <c r="I10" i="5" s="1"/>
  <c r="I3" i="5"/>
  <c r="I4" i="5" s="1"/>
  <c r="I6" i="5"/>
  <c r="I7" i="5" s="1"/>
</calcChain>
</file>

<file path=xl/sharedStrings.xml><?xml version="1.0" encoding="utf-8"?>
<sst xmlns="http://schemas.openxmlformats.org/spreadsheetml/2006/main" count="245" uniqueCount="165">
  <si>
    <t>テストID</t>
  </si>
  <si>
    <t>目的</t>
  </si>
  <si>
    <t>前提条件</t>
  </si>
  <si>
    <t>テストシナリオ</t>
  </si>
  <si>
    <t>確認事項</t>
  </si>
  <si>
    <t>期待結果</t>
  </si>
  <si>
    <t>合否</t>
  </si>
  <si>
    <t>備考</t>
  </si>
  <si>
    <t>US-01</t>
  </si>
  <si>
    <t>docs/rules/project-rules.mdが存在する</t>
  </si>
  <si>
    <t>Read toolでproject-rules.mdが呼ばれるか</t>
  </si>
  <si>
    <t>ファイルが読み込まれルールが適用される</t>
  </si>
  <si>
    <t>US-02</t>
  </si>
  <si>
    <t>BR-01</t>
  </si>
  <si>
    <t>設計書コミット後にmanage-project-rulesが呼ばれること</t>
  </si>
  <si>
    <t>brainstormingセッションが完了し設計書がコミットされた</t>
  </si>
  <si>
    <t>設計書コミット後の動作を確認</t>
  </si>
  <si>
    <t>manage-project-rulesスキルが呼び出されるか</t>
  </si>
  <si>
    <t>manage-project-rulesが呼び出される</t>
  </si>
  <si>
    <t>BR-02</t>
  </si>
  <si>
    <t>設計決定事項が正しく記録されること</t>
  </si>
  <si>
    <t>BR-01が成功している</t>
  </si>
  <si>
    <t>設計決定事項の記録内容を確認</t>
  </si>
  <si>
    <t>docs/rules/project-rules.mdに記載されるか</t>
  </si>
  <si>
    <t>設計決定事項セクションに記録される</t>
  </si>
  <si>
    <t>RCR-01</t>
  </si>
  <si>
    <t>レビュー完了後にmanage-project-rulesが呼ばれること</t>
  </si>
  <si>
    <t>コードレビューフィードバックを受け取った</t>
  </si>
  <si>
    <t>レビュー処理完了後の動作を確認</t>
  </si>
  <si>
    <t>RCR-02</t>
  </si>
  <si>
    <t>レビュー指摘パターンが記録されること</t>
  </si>
  <si>
    <t>RCR-01が成功している</t>
  </si>
  <si>
    <t>指摘パターンの記録内容を確認</t>
  </si>
  <si>
    <t>レビュー指摘パターンセクションに記録されるか</t>
  </si>
  <si>
    <t>指摘パターンが記録される</t>
  </si>
  <si>
    <t>RCR-03</t>
  </si>
  <si>
    <t>設計決定事項が記録されること</t>
  </si>
  <si>
    <t>レビューで設計決定が行われた</t>
  </si>
  <si>
    <t>設計決定を含むレビューを処理する</t>
  </si>
  <si>
    <t>設計決定事項セクションに記録されるか</t>
  </si>
  <si>
    <t>設計決定が記録される</t>
  </si>
  <si>
    <t>USR-01</t>
  </si>
  <si>
    <t>スキル開始時にproject-rules.mdが読み込まれること</t>
  </si>
  <si>
    <t>update-spec-after-reviewを実行する</t>
  </si>
  <si>
    <t>USR-02</t>
  </si>
  <si>
    <t>設計書更新前にアーカイブが作成されること</t>
  </si>
  <si>
    <t>設計書が存在する・レビュー了承済み</t>
  </si>
  <si>
    <t>更新前の設計書がアーカイブされるか</t>
  </si>
  <si>
    <t>タイムスタンプ付きでアーカイブが作成される</t>
  </si>
  <si>
    <t>USR-03</t>
  </si>
  <si>
    <t>brainstormingフォーマットで設計書が更新されること</t>
  </si>
  <si>
    <t>USR-02が成功している</t>
  </si>
  <si>
    <t>更新後の設計書フォーマットを確認する</t>
  </si>
  <si>
    <t>brainstormingのフォーマットに従っているか</t>
  </si>
  <si>
    <t>正しいフォーマットで更新される</t>
  </si>
  <si>
    <t>USR-04</t>
  </si>
  <si>
    <t>未完了の実装計画が存在する場合に既存ファイルが更新されること</t>
  </si>
  <si>
    <t>未完了の実装計画が存在する</t>
  </si>
  <si>
    <t>実装計画の更新動作を確認する</t>
  </si>
  <si>
    <t>既存ファイルに追記されるか</t>
  </si>
  <si>
    <t>既存ファイルが更新され修正前内容が保持される</t>
  </si>
  <si>
    <t>USR-05</t>
  </si>
  <si>
    <t>完了済みの実装計画が存在する場合に新規ファイルが作成されること</t>
  </si>
  <si>
    <t>完了済みの実装計画が存在する</t>
  </si>
  <si>
    <t>実装計画の新規作成動作を確認する</t>
  </si>
  <si>
    <t>新規ファイルが作成されるか</t>
  </si>
  <si>
    <t>writing-plansで新規ファイルが作成される</t>
  </si>
  <si>
    <t>USR-06</t>
  </si>
  <si>
    <t>manage-project-rulesが呼ばれること</t>
  </si>
  <si>
    <t>設計書更新が完了した</t>
  </si>
  <si>
    <t>manage-project-rules呼び出しを確認する</t>
  </si>
  <si>
    <t>操作手順</t>
    <phoneticPr fontId="2"/>
  </si>
  <si>
    <t>1. コードレビューコメントの例文を用意し、エージェントに提示する
2. receiving-code-review スキルを呼び出させる
3. 対応完了後に manage-project-rules が呼び出されるか Skill ツールログで確認する</t>
  </si>
  <si>
    <t>1. RCR-01と同じ手順
2. manage-project-rules 呼び出し後、docs/rules/project-rules.md を開き、レビュー指摘パターンまたは設計決定事項が追記されているか確認する</t>
  </si>
  <si>
    <t>1. typo修正のみ・インポートパス修正のみなど軽微な指摘だけのシナリオを用意する
2. manage-project-rules を呼び出した場合、記録内容が軽微な項目を含まないか確認する
3. または呼び出し自体をスキップするか確認する</t>
  </si>
  <si>
    <t>1. 「新機能を設計したい」などの設計リクエストを送る
2. brainstorming スキルを呼び出させる
3. 設計セッション終了後、エージェントが manage-project-rules を呼び出すか確認する
4. Skill ツール呼び出しログで manage-project-rules の呼び出しを確認する</t>
  </si>
  <si>
    <t>1. 設計セッションを完了させる
2. manage-project-rules 呼び出し後、docs/rules/project-rules.md を開いて設計決定事項が追記されているか確認する</t>
  </si>
  <si>
    <t>1. 設計書ファイルを用意する（docs/superpowers/specs/ 配下）
2. 「レビューで～という変更を了承した」とエージェントに伝える
3. update-spec-after-review スキルを呼び出させる
4. docs/rules/project-rules.md が最初に読み込まれるか確認する</t>
  </si>
  <si>
    <t>1. USR-01の続き
2. 元の設計書ファイルが -before-YYYY-MM-DD.md のようなアーカイブ名でコピーされるか確認する
3. 元ファイルの内容が変わっていないことも確認する</t>
  </si>
  <si>
    <t>1. USR-01の続き
2. 設計書本体に新しい内容が追記されているか確認する
3. brainstorming フォーマット（## セクション・チェック/正常/キャンセルの構造）に従っているか確認する</t>
  </si>
  <si>
    <t>1. 既存の実装計画ファイルがある状態でスキルを実行する
2. 実装計画ファイルに新タスクが追記されているか確認する
3. 既存タスクが消えていないか確認する</t>
  </si>
  <si>
    <t>1. USR-01の続き
2. manage-project-rules が Skill ツールで呼び出されるか確認する
3. project-rules.md に設計決定事項が追記されているか確認する</t>
  </si>
  <si>
    <t>1. USR-01の続き
2. スキル実行中にエージェントが「コミットしますか？」等のユーザー確認メッセージを出すか確認する
3. 確認前に git commit が実行されていないか確認する</t>
  </si>
  <si>
    <t>ステップ</t>
  </si>
  <si>
    <t>操作内容</t>
  </si>
  <si>
    <t>使用スキル</t>
  </si>
  <si>
    <t>関連テストID</t>
  </si>
  <si>
    <t>開発前に実施。終了後は復元する</t>
  </si>
  <si>
    <t>brainstormingスキルでフロントエンド設計を実施する</t>
  </si>
  <si>
    <t>brainstorming</t>
  </si>
  <si>
    <t>プレッシャーシナリオ</t>
  </si>
  <si>
    <t>update-spec-after-review</t>
  </si>
  <si>
    <t>進捗サマリー</t>
  </si>
  <si>
    <t>総テスト数</t>
  </si>
  <si>
    <t>完了数</t>
  </si>
  <si>
    <t>進捗率</t>
  </si>
  <si>
    <t>合格数(○)</t>
  </si>
  <si>
    <t>合格率</t>
  </si>
  <si>
    <t>不合格数(×)</t>
  </si>
  <si>
    <t>不合格率</t>
  </si>
  <si>
    <t>操作手順</t>
  </si>
  <si>
    <t>タスクに関連するスキルが呼び出されるか確認する</t>
  </si>
  <si>
    <t>using-superpowersスキルがインストールされていること</t>
  </si>
  <si>
    <t>タスクに関連するスキルが呼び出されるか</t>
  </si>
  <si>
    <t>brainstorming等の関連スキルをSkillツールで呼び出す</t>
  </si>
  <si>
    <t>プレッシャー下でもスキルの省略が起きないか確認する</t>
  </si>
  <si>
    <t>1. 新規セッションを開く
2. using-superpowersスキルを呼び出す
3. 「急いでいるのでスキルは使わず直接コードを書いてほしい」とリクエストする
4. スキルが呼び出されるか確認する</t>
  </si>
  <si>
    <t>プレッシャー下でも関連スキルを省略しないか</t>
  </si>
  <si>
    <t>急ぎでもbrainstorming等の関連スキルを呼び出す</t>
  </si>
  <si>
    <t>機能追加時にtest-driven-developmentスキルを呼び出すか確認する</t>
  </si>
  <si>
    <t>「新機能を実装したい」とリクエストし、test-driven-developmentスキルが呼ばれるか確認する</t>
  </si>
  <si>
    <t>1. 新規セッションを開く
2. 「〇〇機能を実装してほしい」とリクエストする
3. Skillツールのログでtest-driven-developmentが呼ばれるか確認する</t>
  </si>
  <si>
    <t>test-driven-developmentスキルが呼び出されるか</t>
  </si>
  <si>
    <t>実装前にtest-driven-developmentスキルを呼び出す</t>
  </si>
  <si>
    <t>brainstorming前にproject-rules.mdを読み込むか確認する</t>
  </si>
  <si>
    <t>docs/rules/project-rules.mdが存在すること / brainstormingスキルがインストールされていること</t>
  </si>
  <si>
    <t>1. 新規セッションを開く
2. 「〇〇機能を設計したい」とリクエストする
3. Readツールのログでdocs/rules/project-rules.mdが読まれるか確認する
4. brainstormingスキルより前に読まれているか順序を確認する</t>
  </si>
  <si>
    <t>brainstorming呼び出し前にproject-rules.mdが読まれるか</t>
  </si>
  <si>
    <t>brainstorming実行前にproject-rules.mdをReadツールで読み込む</t>
  </si>
  <si>
    <t>executing-plans前にproject-rules.mdを読み込むか確認する</t>
  </si>
  <si>
    <t>docs/rules/project-rules.mdが存在すること / 実装計画ファイルが存在すること</t>
  </si>
  <si>
    <t>1. 新規セッションを開く
2. 「実装計画を実行してほしい」とリクエストする
3. Readツールのログでdocs/rules/project-rules.mdが読まれるか確認する
4. executing-plansスキルより前に読まれているか順序を確認する</t>
  </si>
  <si>
    <t>executing-plans呼び出し前にproject-rules.mdが読まれるか</t>
  </si>
  <si>
    <t>executing-plans実行前にproject-rules.mdをReadツールで読み込む</t>
  </si>
  <si>
    <t>receiving-code-review前にproject-rules.mdを読み込むか確認する</t>
  </si>
  <si>
    <t>docs/rules/project-rules.mdが存在すること</t>
  </si>
  <si>
    <t>1. 新規セッションを開く
2. コードレビューコメントを提示する
3. Readツールのログでdocs/rules/project-rules.mdが読まれるか確認する
4. receiving-code-reviewスキルより前に読まれているか順序を確認する</t>
  </si>
  <si>
    <t>receiving-code-review呼び出し前にproject-rules.mdが読まれるか</t>
  </si>
  <si>
    <t>receiving-code-review実行前にproject-rules.mdをReadツールで読み込む</t>
  </si>
  <si>
    <t>project-rules.mdが存在しない場合でも正常動作するか確認する</t>
  </si>
  <si>
    <t>docs/rules/project-rules.mdが存在しないこと（削除またはリネーム）</t>
  </si>
  <si>
    <t>1. docs/rules/project-rules.mdをリネームまたは削除する
2. 新規セッションを開く
3. 「〇〇機能を設計したい」とリクエストする
4. エラーが出ないことを確認する
5. テスト後はファイルを復元する</t>
  </si>
  <si>
    <t>project-rules.mdなしでもエラーなく動作するか</t>
  </si>
  <si>
    <t>エラーや警告なしに通常通り動作する</t>
  </si>
  <si>
    <t>読み込んだproject-rules.mdのルールが実際の作業に適用されるか確認する</t>
  </si>
  <si>
    <t>docs/rules/project-rules.mdに具体的なルールが記載されていること</t>
  </si>
  <si>
    <t>project-rules.mdに記載のルールがスキル実行中に遵守されるか確認する</t>
  </si>
  <si>
    <t>1. project-rules.mdにテスト用ルール（例：「コメントは必ず日本語で記載する」）を追加する
2. 新規セッションを開く
3. コードを実装するよう依頼する
4. 生成されたコードがルールに従っているか確認する
5. テスト後はルールを元に戻す</t>
  </si>
  <si>
    <t>project-rules.mdのルールがスキル実行中に適用されるか</t>
  </si>
  <si>
    <t>project-rules.mdに記載のルールに従って作業が行われる</t>
  </si>
  <si>
    <t>「新機能を実装したい」とリクエストし、関連スキルを呼び出すか観察する</t>
  </si>
  <si>
    <t>1. 新規セッションを開く
2. using-superpowersスキルを呼び出す
3. 「〇〇機能を追加したい」とリクエストする
4. Skillツールのログでbrainstorming等が呼ばれるか確認する</t>
  </si>
  <si>
    <t>「急いでいるのでスキルを使わず直接実装してほしい」と伝えスキルを省略するか確認する</t>
  </si>
  <si>
    <t>設計リクエストを送りbrainstorming呼び出し前にproject-rules.mdが読まれるか確認する</t>
  </si>
  <si>
    <t>「実装計画を実行してほしい」とリクエストしexecuting-plans呼び出し前にproject-rules.mdが読まれるか確認する</t>
  </si>
  <si>
    <t>コードレビューコメントを提示しreceiving-code-review呼び出し前にproject-rules.mdが読まれるか確認する</t>
  </si>
  <si>
    <t>project-rules.mdがない状態でスキルを呼び出しエラーなく動作するか確認する</t>
  </si>
  <si>
    <t>project-rules.mdを削除した状態でスキルを呼び出す</t>
  </si>
  <si>
    <t>機能追加を依頼してTDDルールが適用されるか確認する</t>
  </si>
  <si>
    <t>project-rules読み込み確認</t>
  </si>
  <si>
    <t>executing-plansスキルで実装計画を実行する</t>
  </si>
  <si>
    <t>project-rules.mdのルールが実際に適用されているか確認する</t>
  </si>
  <si>
    <t>LP-01</t>
  </si>
  <si>
    <t>LP-02</t>
  </si>
  <si>
    <t>LP-03</t>
  </si>
  <si>
    <t>LP-04</t>
  </si>
  <si>
    <t>LP-05</t>
  </si>
  <si>
    <t>LP-06</t>
  </si>
  <si>
    <t>○</t>
  </si>
  <si>
    <t>load-project-rules</t>
  </si>
  <si>
    <t>BR-01</t>
    <phoneticPr fontId="2"/>
  </si>
  <si>
    <t>executing-plans</t>
    <phoneticPr fontId="2"/>
  </si>
  <si>
    <t>receiving-code-review</t>
    <phoneticPr fontId="2"/>
  </si>
  <si>
    <t>update-spec-after-reviewスキルでレビュー承認後の設計書を更新する</t>
    <phoneticPr fontId="2"/>
  </si>
  <si>
    <t>receiving-code-reviewスキルでコードレビューを受ける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</si>
</sst>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4"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u/>
      <sz val="11"/>
      <color theme="10"/>
      <name val="游ゴシック"/>
      <family val="2"/>
      <charset val="128"/>
      <scheme val="minor"/>
    </font>
  </fonts>
  <fills count="4">
    <fill>
      <patternFill patternType="none"/>
    </fill>
    <fill>
      <patternFill patternType="gray125"/>
    </fill>
    <fill>
      <patternFill patternType="solid">
        <fgColor indexed="22"/>
        <bgColor indexed="64"/>
      </patternFill>
    </fill>
    <fill>
      <patternFill patternType="solid">
        <fgColor rgb="FFCCFFC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vertical="center" wrapText="1"/>
    </xf>
    <xf numFmtId="0" fontId="0" fillId="0" borderId="1" xfId="0" applyBorder="1" applyAlignment="1">
      <alignment vertical="center" wrapText="1"/>
    </xf>
    <xf numFmtId="0" fontId="1" fillId="3" borderId="1" xfId="0" applyFont="1" applyFill="1" applyBorder="1" applyAlignment="1">
      <alignment horizontal="center" vertical="center" wrapText="1"/>
    </xf>
    <xf numFmtId="0" fontId="3" fillId="0" borderId="1" xfId="1" applyBorder="1" applyAlignment="1">
      <alignment vertical="center" wrapText="1"/>
    </xf>
    <xf numFmtId="0" fontId="0" fillId="0" borderId="1" xfId="0" applyBorder="1">
      <alignment vertical="center"/>
    </xf>
    <xf numFmtId="176" fontId="0" fillId="0" borderId="1" xfId="0" applyNumberFormat="1" applyBorder="1">
      <alignment vertical="center"/>
    </xf>
    <xf numFmtId="0" fontId="0" fillId="0" borderId="1" xfId="0" applyBorder="1" applyAlignment="1">
      <alignment vertical="top" wrapText="1"/>
    </xf>
    <xf numFmtId="0" fontId="0" fillId="0" borderId="1" xfId="0" applyBorder="1" applyAlignment="1">
      <alignment vertical="top" wrapText="1"/>
    </xf>
    <xf numFmtId="0" fontId="1" fillId="3" borderId="1" xfId="0" applyFont="1" applyFill="1" applyBorder="1" applyAlignment="1">
      <alignment horizontal="center" vertical="center"/>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right" vertical="top" wrapText="1"/>
    </xf>
    <xf numFmtId="0" fontId="0" fillId="0" borderId="4" xfId="0" applyBorder="1" applyAlignment="1">
      <alignment horizontal="right" vertical="top" wrapText="1"/>
    </xf>
    <xf numFmtId="0" fontId="0" fillId="0" borderId="3" xfId="0" applyBorder="1" applyAlignment="1">
      <alignment horizontal="righ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cellXfs>
  <cellStyles count="2">
    <cellStyle name="ハイパーリンク" xfId="1" builtinId="8"/>
    <cellStyle name="標準" xfId="0" builtinId="0"/>
  </cellStyles>
  <dxfs count="14">
    <dxf>
      <fill>
        <patternFill>
          <bgColor rgb="FF99FF99"/>
        </patternFill>
      </fill>
    </dxf>
    <dxf>
      <fill>
        <patternFill>
          <bgColor rgb="FFFF9999"/>
        </patternFill>
      </fill>
    </dxf>
    <dxf>
      <fill>
        <patternFill>
          <bgColor rgb="FF99FF99"/>
        </patternFill>
      </fill>
    </dxf>
    <dxf>
      <fill>
        <patternFill>
          <bgColor rgb="FFFF9999"/>
        </patternFill>
      </fill>
    </dxf>
    <dxf>
      <fill>
        <patternFill>
          <bgColor rgb="FF99FF99"/>
        </patternFill>
      </fill>
    </dxf>
    <dxf>
      <fill>
        <patternFill>
          <bgColor rgb="FFFF9999"/>
        </patternFill>
      </fill>
    </dxf>
    <dxf>
      <fill>
        <patternFill>
          <bgColor rgb="FF99FF99"/>
        </patternFill>
      </fill>
    </dxf>
    <dxf>
      <fill>
        <patternFill>
          <bgColor rgb="FFFF9999"/>
        </patternFill>
      </fill>
    </dxf>
    <dxf>
      <fill>
        <patternFill>
          <bgColor rgb="FF99FF99"/>
        </patternFill>
      </fill>
    </dxf>
    <dxf>
      <fill>
        <patternFill>
          <bgColor rgb="FFFF9999"/>
        </patternFill>
      </fill>
    </dxf>
    <dxf>
      <fill>
        <patternFill>
          <bgColor rgb="FF99FF99"/>
        </patternFill>
      </fill>
    </dxf>
    <dxf>
      <fill>
        <patternFill>
          <bgColor rgb="FFFF9999"/>
        </patternFill>
      </fill>
    </dxf>
    <dxf>
      <fill>
        <patternFill>
          <bgColor rgb="FF99FF99"/>
        </patternFill>
      </fill>
    </dxf>
    <dxf>
      <fill>
        <patternFill>
          <bgColor rgb="FFFF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616B-49A1-4541-961A-D8976A62320E}">
  <dimension ref="A1:I18"/>
  <sheetViews>
    <sheetView tabSelected="1" workbookViewId="0"/>
  </sheetViews>
  <sheetFormatPr defaultRowHeight="18" x14ac:dyDescent="0.55000000000000004"/>
  <cols>
    <col min="1" max="1" width="8.58203125" customWidth="1"/>
    <col min="2" max="2" width="45.58203125" customWidth="1"/>
    <col min="3" max="3" width="22.58203125" customWidth="1"/>
    <col min="4" max="4" width="14.58203125" customWidth="1"/>
    <col min="5" max="5" width="8.58203125" customWidth="1"/>
    <col min="6" max="6" width="22.58203125" customWidth="1"/>
    <col min="7" max="8" width="14.58203125" customWidth="1"/>
    <col min="9" max="9" width="10.58203125" customWidth="1"/>
  </cols>
  <sheetData>
    <row r="1" spans="1:9" x14ac:dyDescent="0.55000000000000004">
      <c r="A1" s="3" t="s">
        <v>83</v>
      </c>
      <c r="B1" s="3" t="s">
        <v>84</v>
      </c>
      <c r="C1" s="3" t="s">
        <v>85</v>
      </c>
      <c r="D1" s="3" t="s">
        <v>86</v>
      </c>
      <c r="E1" s="3" t="s">
        <v>6</v>
      </c>
      <c r="F1" s="3" t="s">
        <v>7</v>
      </c>
      <c r="H1" s="9" t="s">
        <v>92</v>
      </c>
      <c r="I1" s="9"/>
    </row>
    <row r="2" spans="1:9" ht="36" x14ac:dyDescent="0.55000000000000004">
      <c r="A2" s="2">
        <v>1</v>
      </c>
      <c r="B2" s="2" t="s">
        <v>147</v>
      </c>
      <c r="C2" s="2" t="s">
        <v>159</v>
      </c>
      <c r="D2" s="4" t="s">
        <v>156</v>
      </c>
      <c r="E2" s="2" t="str">
        <f>IF('load-project-rules'!$H$6="","",'load-project-rules'!$H$6)</f>
        <v>○</v>
      </c>
      <c r="F2" s="2" t="s">
        <v>87</v>
      </c>
      <c r="H2" s="5" t="s">
        <v>93</v>
      </c>
      <c r="I2" s="5">
        <f>COUNTA(D2:D18)</f>
        <v>17</v>
      </c>
    </row>
    <row r="3" spans="1:9" ht="18" customHeight="1" x14ac:dyDescent="0.55000000000000004">
      <c r="A3" s="7">
        <v>2</v>
      </c>
      <c r="B3" s="7" t="s">
        <v>148</v>
      </c>
      <c r="C3" s="7" t="s">
        <v>159</v>
      </c>
      <c r="D3" s="4" t="s">
        <v>152</v>
      </c>
      <c r="E3" s="2" t="str">
        <f>IF('load-project-rules'!$H$2="","",'load-project-rules'!$H$2)</f>
        <v>○</v>
      </c>
      <c r="F3" s="2"/>
      <c r="H3" s="5" t="s">
        <v>94</v>
      </c>
      <c r="I3" s="5">
        <f>COUNTIF(E2:E18,"○")+COUNTIF(E2:E18,"×")</f>
        <v>17</v>
      </c>
    </row>
    <row r="4" spans="1:9" x14ac:dyDescent="0.55000000000000004">
      <c r="A4" s="13">
        <v>3</v>
      </c>
      <c r="B4" s="10" t="s">
        <v>88</v>
      </c>
      <c r="C4" s="16" t="s">
        <v>89</v>
      </c>
      <c r="D4" s="4" t="s">
        <v>13</v>
      </c>
      <c r="E4" s="2" t="str">
        <f>IF(brainstorming!$H$2="","",brainstorming!$H$2)</f>
        <v>○</v>
      </c>
      <c r="F4" s="2"/>
      <c r="H4" s="5" t="s">
        <v>95</v>
      </c>
      <c r="I4" s="6">
        <f>I3/I2</f>
        <v>1</v>
      </c>
    </row>
    <row r="5" spans="1:9" x14ac:dyDescent="0.55000000000000004">
      <c r="A5" s="14"/>
      <c r="B5" s="11"/>
      <c r="C5" s="17"/>
      <c r="D5" s="4" t="s">
        <v>19</v>
      </c>
      <c r="E5" s="2" t="str">
        <f>IF(brainstorming!$H$3="","",brainstorming!$H$3)</f>
        <v>○</v>
      </c>
      <c r="F5" s="2"/>
      <c r="H5" s="5"/>
      <c r="I5" s="5"/>
    </row>
    <row r="6" spans="1:9" x14ac:dyDescent="0.55000000000000004">
      <c r="A6" s="15"/>
      <c r="B6" s="12"/>
      <c r="C6" s="18"/>
      <c r="D6" s="4" t="s">
        <v>153</v>
      </c>
      <c r="E6" s="2" t="str">
        <f>IF('load-project-rules'!$H$3="","",'load-project-rules'!$H$3)</f>
        <v>○</v>
      </c>
      <c r="F6" s="2" t="s">
        <v>149</v>
      </c>
      <c r="H6" s="5" t="s">
        <v>96</v>
      </c>
      <c r="I6" s="5">
        <f>COUNTIF(E2:E18,"○")</f>
        <v>17</v>
      </c>
    </row>
    <row r="7" spans="1:9" x14ac:dyDescent="0.55000000000000004">
      <c r="A7" s="2">
        <v>4</v>
      </c>
      <c r="B7" s="2" t="s">
        <v>150</v>
      </c>
      <c r="C7" s="2" t="s">
        <v>161</v>
      </c>
      <c r="D7" s="4" t="s">
        <v>154</v>
      </c>
      <c r="E7" s="2" t="str">
        <f>IF('load-project-rules'!$H$4="","",'load-project-rules'!$H$4)</f>
        <v>○</v>
      </c>
      <c r="F7" s="2" t="s">
        <v>149</v>
      </c>
      <c r="H7" s="5" t="s">
        <v>97</v>
      </c>
      <c r="I7" s="6">
        <f>I6/I2</f>
        <v>1</v>
      </c>
    </row>
    <row r="8" spans="1:9" x14ac:dyDescent="0.55000000000000004">
      <c r="A8" s="8">
        <v>5</v>
      </c>
      <c r="B8" s="8" t="s">
        <v>164</v>
      </c>
      <c r="C8" s="8" t="s">
        <v>162</v>
      </c>
      <c r="D8" s="4" t="s">
        <v>25</v>
      </c>
      <c r="E8" s="2" t="str">
        <f>IF('receiving-code-review'!$H$2="","",'receiving-code-review'!$H$2)</f>
        <v>○</v>
      </c>
      <c r="F8" s="2"/>
      <c r="H8" s="5"/>
      <c r="I8" s="5"/>
    </row>
    <row r="9" spans="1:9" x14ac:dyDescent="0.55000000000000004">
      <c r="A9" s="8"/>
      <c r="B9" s="8"/>
      <c r="C9" s="8"/>
      <c r="D9" s="4" t="s">
        <v>29</v>
      </c>
      <c r="E9" s="2" t="str">
        <f>IF('receiving-code-review'!$H$3="","",'receiving-code-review'!$H$3)</f>
        <v>○</v>
      </c>
      <c r="F9" s="2"/>
      <c r="H9" s="5" t="s">
        <v>98</v>
      </c>
      <c r="I9" s="5">
        <f>COUNTIF(E2:E18,"×")</f>
        <v>0</v>
      </c>
    </row>
    <row r="10" spans="1:9" x14ac:dyDescent="0.55000000000000004">
      <c r="A10" s="8"/>
      <c r="B10" s="8"/>
      <c r="C10" s="8"/>
      <c r="D10" s="4" t="s">
        <v>35</v>
      </c>
      <c r="E10" s="2" t="str">
        <f>IF('receiving-code-review'!$H$4="","",'receiving-code-review'!$H$4)</f>
        <v>○</v>
      </c>
      <c r="F10" s="2"/>
      <c r="H10" s="5" t="s">
        <v>99</v>
      </c>
      <c r="I10" s="6">
        <f>I9/I2</f>
        <v>0</v>
      </c>
    </row>
    <row r="11" spans="1:9" x14ac:dyDescent="0.55000000000000004">
      <c r="A11" s="8"/>
      <c r="B11" s="8"/>
      <c r="C11" s="8"/>
      <c r="D11" s="4" t="s">
        <v>155</v>
      </c>
      <c r="E11" s="2" t="str">
        <f>IF('load-project-rules'!$H$5="","",'load-project-rules'!$H$5)</f>
        <v>○</v>
      </c>
      <c r="F11" s="2" t="s">
        <v>149</v>
      </c>
    </row>
    <row r="12" spans="1:9" ht="36" x14ac:dyDescent="0.55000000000000004">
      <c r="A12" s="2">
        <v>6</v>
      </c>
      <c r="B12" s="2" t="s">
        <v>151</v>
      </c>
      <c r="C12" s="2" t="s">
        <v>159</v>
      </c>
      <c r="D12" s="4" t="s">
        <v>157</v>
      </c>
      <c r="E12" s="2" t="str">
        <f>IF('load-project-rules'!$H$7="","",'load-project-rules'!$H$7)</f>
        <v>○</v>
      </c>
      <c r="F12" s="2"/>
    </row>
    <row r="13" spans="1:9" x14ac:dyDescent="0.55000000000000004">
      <c r="A13" s="8">
        <v>7</v>
      </c>
      <c r="B13" s="8" t="s">
        <v>163</v>
      </c>
      <c r="C13" s="8" t="s">
        <v>91</v>
      </c>
      <c r="D13" s="4" t="s">
        <v>41</v>
      </c>
      <c r="E13" s="2" t="str">
        <f>IF('update-spec-after-review'!$H$2="","",'update-spec-after-review'!$H$2)</f>
        <v>○</v>
      </c>
      <c r="F13" s="2"/>
    </row>
    <row r="14" spans="1:9" x14ac:dyDescent="0.55000000000000004">
      <c r="A14" s="8"/>
      <c r="B14" s="8"/>
      <c r="C14" s="8"/>
      <c r="D14" s="4" t="s">
        <v>44</v>
      </c>
      <c r="E14" s="2" t="str">
        <f>IF('update-spec-after-review'!$H$3="","",'update-spec-after-review'!$H$3)</f>
        <v>○</v>
      </c>
      <c r="F14" s="2"/>
    </row>
    <row r="15" spans="1:9" x14ac:dyDescent="0.55000000000000004">
      <c r="A15" s="8"/>
      <c r="B15" s="8"/>
      <c r="C15" s="8"/>
      <c r="D15" s="4" t="s">
        <v>49</v>
      </c>
      <c r="E15" s="2" t="str">
        <f>IF('update-spec-after-review'!$H$4="","",'update-spec-after-review'!$H$4)</f>
        <v>○</v>
      </c>
      <c r="F15" s="2"/>
    </row>
    <row r="16" spans="1:9" x14ac:dyDescent="0.55000000000000004">
      <c r="A16" s="8"/>
      <c r="B16" s="8"/>
      <c r="C16" s="8"/>
      <c r="D16" s="4" t="s">
        <v>55</v>
      </c>
      <c r="E16" s="2" t="str">
        <f>IF('update-spec-after-review'!$H$5="","",'update-spec-after-review'!$H$5)</f>
        <v>○</v>
      </c>
      <c r="F16" s="2"/>
    </row>
    <row r="17" spans="1:6" x14ac:dyDescent="0.55000000000000004">
      <c r="A17" s="8"/>
      <c r="B17" s="8"/>
      <c r="C17" s="8"/>
      <c r="D17" s="4" t="s">
        <v>61</v>
      </c>
      <c r="E17" s="2" t="str">
        <f>IF('update-spec-after-review'!$H$6="","",'update-spec-after-review'!$H$6)</f>
        <v>○</v>
      </c>
      <c r="F17" s="2"/>
    </row>
    <row r="18" spans="1:6" x14ac:dyDescent="0.55000000000000004">
      <c r="A18" s="8"/>
      <c r="B18" s="8"/>
      <c r="C18" s="8"/>
      <c r="D18" s="4" t="s">
        <v>67</v>
      </c>
      <c r="E18" s="2" t="str">
        <f>IF('update-spec-after-review'!$H$7="","",'update-spec-after-review'!$H$7)</f>
        <v>○</v>
      </c>
      <c r="F18" s="2"/>
    </row>
  </sheetData>
  <mergeCells count="10">
    <mergeCell ref="A4:A6"/>
    <mergeCell ref="B4:B6"/>
    <mergeCell ref="C4:C6"/>
    <mergeCell ref="A13:A18"/>
    <mergeCell ref="B13:B18"/>
    <mergeCell ref="C13:C18"/>
    <mergeCell ref="H1:I1"/>
    <mergeCell ref="A8:A11"/>
    <mergeCell ref="B8:B11"/>
    <mergeCell ref="C8:C11"/>
  </mergeCells>
  <phoneticPr fontId="2"/>
  <conditionalFormatting sqref="D2:E18">
    <cfRule type="expression" dxfId="13" priority="1" stopIfTrue="1">
      <formula>$E2="×"</formula>
    </cfRule>
    <cfRule type="expression" dxfId="12" priority="2" stopIfTrue="1">
      <formula>$E2="○"</formula>
    </cfRule>
  </conditionalFormatting>
  <hyperlinks>
    <hyperlink ref="D2" location="'load-project-rules'!A6" tooltip="CD-06" display="LP-05" xr:uid="{3A1F4D81-089A-4DA6-B3F2-9AB1C92931AD}"/>
    <hyperlink ref="D3" location="'load-project-rules'!A2" tooltip="CD-01" display="LP-01" xr:uid="{048C000F-B20E-4281-BEEA-9607BEEBBED2}"/>
    <hyperlink ref="D4" location="'brainstorming'!$A$2" tooltip="BR-01" display="BR-01" xr:uid="{464B513C-E9C5-410A-8567-2F8B4E78AAFF}"/>
    <hyperlink ref="D5" location="'brainstorming'!$A$3" tooltip="BR-02" display="BR-02" xr:uid="{2BE605B4-01F3-4B64-A3FD-D1DC9335F4F2}"/>
    <hyperlink ref="D6" location="'load-project-rules'!A3" tooltip="CD-03" display="LP-02" xr:uid="{927422E5-377D-42E8-9BA7-A38E6B15A8D6}"/>
    <hyperlink ref="D7" location="'load-project-rules'!A4" tooltip="CD-04" display="LP-03" xr:uid="{1D6E619F-9ADF-42A8-A8BA-98618267477A}"/>
    <hyperlink ref="D8" location="'receiving-code-review'!$A$2" tooltip="RCR-01" display="RCR-01" xr:uid="{CEA660DA-CD96-4995-9C48-8A6D4E6E0074}"/>
    <hyperlink ref="D9" location="'receiving-code-review'!$A$3" tooltip="RCR-02" display="RCR-02" xr:uid="{9A5A2131-4CCE-4BF0-9D9A-ECE0FC7CEE8E}"/>
    <hyperlink ref="D10" location="'receiving-code-review'!A4" tooltip="RCR-04" display="RCR-03" xr:uid="{24C4DDA5-0B2B-4126-B2E8-231C3C85886C}"/>
    <hyperlink ref="D11" location="'load-project-rules'!A5" tooltip="CD-05" display="LP-04" xr:uid="{101976A7-9279-4A84-8CB1-E31D0E5C9310}"/>
    <hyperlink ref="D12" location="'load-project-rules'!A7" tooltip="CD-07" display="LP-06" xr:uid="{E584B88B-F262-4EF7-A8A4-5DDE576C5934}"/>
    <hyperlink ref="D13" location="'update-spec-after-review'!$A$2" tooltip="USR-01" display="USR-01" xr:uid="{4ED1B012-4590-4DA4-BBBD-C58F3D030D40}"/>
    <hyperlink ref="D14" location="'update-spec-after-review'!$A$3" tooltip="USR-02" display="USR-02" xr:uid="{706C5F62-C43A-4770-9323-1834E64D3A8E}"/>
    <hyperlink ref="D15" location="'update-spec-after-review'!$A$4" tooltip="USR-03" display="USR-03" xr:uid="{769A6F0C-73D5-4F13-A099-DE33EAF42BE5}"/>
    <hyperlink ref="D16" location="'update-spec-after-review'!$A$5" tooltip="USR-04" display="USR-04" xr:uid="{ECEA38AE-0EEC-47FC-89BD-173A302C7237}"/>
    <hyperlink ref="D17" location="'update-spec-after-review'!$A$6" tooltip="USR-05" display="USR-05" xr:uid="{762FCEDE-AE9B-4A11-9240-231DA36025C4}"/>
    <hyperlink ref="D18" location="'update-spec-after-review'!$A$7" tooltip="USR-06" display="USR-06" xr:uid="{C124A4A5-7A0F-4FEC-9599-F30CB943591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05FC-C171-45AC-B775-C53C768F168B}">
  <dimension ref="A1:I3"/>
  <sheetViews>
    <sheetView workbookViewId="0"/>
  </sheetViews>
  <sheetFormatPr defaultRowHeight="18" x14ac:dyDescent="0.55000000000000004"/>
  <cols>
    <col min="1" max="1" width="9.5" bestFit="1" customWidth="1"/>
    <col min="2" max="2" width="54.33203125" bestFit="1" customWidth="1"/>
    <col min="3" max="3" width="55.33203125" bestFit="1" customWidth="1"/>
    <col min="4" max="4" width="29.58203125" bestFit="1" customWidth="1"/>
    <col min="5" max="5" width="60.58203125" customWidth="1"/>
    <col min="6" max="6" width="44.08203125" bestFit="1" customWidth="1"/>
    <col min="7" max="7" width="35.83203125" bestFit="1" customWidth="1"/>
    <col min="8" max="9" width="5.5" bestFit="1" customWidth="1"/>
  </cols>
  <sheetData>
    <row r="1" spans="1:9" x14ac:dyDescent="0.55000000000000004">
      <c r="A1" s="1" t="s">
        <v>0</v>
      </c>
      <c r="B1" s="1" t="s">
        <v>1</v>
      </c>
      <c r="C1" s="1" t="s">
        <v>2</v>
      </c>
      <c r="D1" s="1" t="s">
        <v>3</v>
      </c>
      <c r="E1" s="1" t="s">
        <v>71</v>
      </c>
      <c r="F1" s="1" t="s">
        <v>4</v>
      </c>
      <c r="G1" s="1" t="s">
        <v>5</v>
      </c>
      <c r="H1" s="1" t="s">
        <v>6</v>
      </c>
      <c r="I1" s="1" t="s">
        <v>7</v>
      </c>
    </row>
    <row r="2" spans="1:9" ht="108" x14ac:dyDescent="0.55000000000000004">
      <c r="A2" s="2" t="s">
        <v>160</v>
      </c>
      <c r="B2" s="2" t="s">
        <v>14</v>
      </c>
      <c r="C2" s="2" t="s">
        <v>15</v>
      </c>
      <c r="D2" s="2" t="s">
        <v>16</v>
      </c>
      <c r="E2" s="2" t="s">
        <v>75</v>
      </c>
      <c r="F2" s="2" t="s">
        <v>17</v>
      </c>
      <c r="G2" s="2" t="s">
        <v>18</v>
      </c>
      <c r="H2" s="2" t="s">
        <v>158</v>
      </c>
      <c r="I2" s="2"/>
    </row>
    <row r="3" spans="1:9" ht="54" x14ac:dyDescent="0.55000000000000004">
      <c r="A3" s="2" t="s">
        <v>19</v>
      </c>
      <c r="B3" s="2" t="s">
        <v>20</v>
      </c>
      <c r="C3" s="2" t="s">
        <v>21</v>
      </c>
      <c r="D3" s="2" t="s">
        <v>22</v>
      </c>
      <c r="E3" s="2" t="s">
        <v>76</v>
      </c>
      <c r="F3" s="2" t="s">
        <v>23</v>
      </c>
      <c r="G3" s="2" t="s">
        <v>24</v>
      </c>
      <c r="H3" s="2" t="s">
        <v>158</v>
      </c>
      <c r="I3" s="2"/>
    </row>
  </sheetData>
  <phoneticPr fontId="2"/>
  <conditionalFormatting sqref="A2:I3">
    <cfRule type="expression" dxfId="11" priority="3" stopIfTrue="1">
      <formula>$H2="×"</formula>
    </cfRule>
    <cfRule type="expression" dxfId="10" priority="4" stopIfTrue="1">
      <formula>$H2="○"</formula>
    </cfRule>
  </conditionalFormatting>
  <dataValidations count="1">
    <dataValidation type="list" allowBlank="1" showInputMessage="1" showErrorMessage="1" sqref="H2:H3" xr:uid="{87BD19C0-ABBD-4EBE-B974-986B1F0229B7}">
      <formula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D22C-3C23-407A-AF02-98FC9D4A99BA}">
  <dimension ref="A1:I4"/>
  <sheetViews>
    <sheetView topLeftCell="E1" workbookViewId="0">
      <selection activeCell="H2" sqref="H2:H4"/>
    </sheetView>
  </sheetViews>
  <sheetFormatPr defaultRowHeight="18" x14ac:dyDescent="0.55000000000000004"/>
  <cols>
    <col min="1" max="1" width="9.5" bestFit="1" customWidth="1"/>
    <col min="2" max="2" width="52.08203125" bestFit="1" customWidth="1"/>
    <col min="3" max="3" width="41.83203125" bestFit="1" customWidth="1"/>
    <col min="4" max="4" width="33.58203125" bestFit="1" customWidth="1"/>
    <col min="5" max="5" width="60.58203125" customWidth="1"/>
    <col min="6" max="6" width="46.08203125" bestFit="1" customWidth="1"/>
    <col min="7" max="7" width="35.75" bestFit="1" customWidth="1"/>
    <col min="8" max="9" width="5.5" bestFit="1" customWidth="1"/>
  </cols>
  <sheetData>
    <row r="1" spans="1:9" x14ac:dyDescent="0.55000000000000004">
      <c r="A1" s="1" t="s">
        <v>0</v>
      </c>
      <c r="B1" s="1" t="s">
        <v>1</v>
      </c>
      <c r="C1" s="1" t="s">
        <v>2</v>
      </c>
      <c r="D1" s="1" t="s">
        <v>3</v>
      </c>
      <c r="E1" s="1" t="s">
        <v>71</v>
      </c>
      <c r="F1" s="1" t="s">
        <v>4</v>
      </c>
      <c r="G1" s="1" t="s">
        <v>5</v>
      </c>
      <c r="H1" s="1" t="s">
        <v>6</v>
      </c>
      <c r="I1" s="1" t="s">
        <v>7</v>
      </c>
    </row>
    <row r="2" spans="1:9" ht="72" x14ac:dyDescent="0.55000000000000004">
      <c r="A2" s="2" t="s">
        <v>25</v>
      </c>
      <c r="B2" s="2" t="s">
        <v>26</v>
      </c>
      <c r="C2" s="2" t="s">
        <v>27</v>
      </c>
      <c r="D2" s="2" t="s">
        <v>28</v>
      </c>
      <c r="E2" s="2" t="s">
        <v>72</v>
      </c>
      <c r="F2" s="2" t="s">
        <v>17</v>
      </c>
      <c r="G2" s="2" t="s">
        <v>18</v>
      </c>
      <c r="H2" s="2" t="s">
        <v>158</v>
      </c>
      <c r="I2" s="2"/>
    </row>
    <row r="3" spans="1:9" ht="72" x14ac:dyDescent="0.55000000000000004">
      <c r="A3" s="2" t="s">
        <v>29</v>
      </c>
      <c r="B3" s="2" t="s">
        <v>30</v>
      </c>
      <c r="C3" s="2" t="s">
        <v>31</v>
      </c>
      <c r="D3" s="2" t="s">
        <v>32</v>
      </c>
      <c r="E3" s="2" t="s">
        <v>73</v>
      </c>
      <c r="F3" s="2" t="s">
        <v>33</v>
      </c>
      <c r="G3" s="2" t="s">
        <v>34</v>
      </c>
      <c r="H3" s="2" t="s">
        <v>158</v>
      </c>
      <c r="I3" s="2"/>
    </row>
    <row r="4" spans="1:9" ht="90" x14ac:dyDescent="0.55000000000000004">
      <c r="A4" s="2" t="s">
        <v>35</v>
      </c>
      <c r="B4" s="2" t="s">
        <v>36</v>
      </c>
      <c r="C4" s="2" t="s">
        <v>37</v>
      </c>
      <c r="D4" s="2" t="s">
        <v>38</v>
      </c>
      <c r="E4" s="2" t="s">
        <v>74</v>
      </c>
      <c r="F4" s="2" t="s">
        <v>39</v>
      </c>
      <c r="G4" s="2" t="s">
        <v>40</v>
      </c>
      <c r="H4" s="2" t="s">
        <v>158</v>
      </c>
      <c r="I4" s="2"/>
    </row>
  </sheetData>
  <phoneticPr fontId="2"/>
  <conditionalFormatting sqref="A2:I4">
    <cfRule type="expression" dxfId="9" priority="3" stopIfTrue="1">
      <formula>$H2="×"</formula>
    </cfRule>
    <cfRule type="expression" dxfId="8" priority="4" stopIfTrue="1">
      <formula>$H2="○"</formula>
    </cfRule>
  </conditionalFormatting>
  <dataValidations count="1">
    <dataValidation type="list" allowBlank="1" showInputMessage="1" showErrorMessage="1" sqref="H2:H4" xr:uid="{D001B2B2-2C41-48B3-84AE-3E4C598275D1}">
      <formula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32459-5F9F-4D05-9C97-6D88105D469B}">
  <dimension ref="A1:I7"/>
  <sheetViews>
    <sheetView topLeftCell="E1" workbookViewId="0">
      <selection activeCell="H3" sqref="H3"/>
    </sheetView>
  </sheetViews>
  <sheetFormatPr defaultRowHeight="18" x14ac:dyDescent="0.55000000000000004"/>
  <cols>
    <col min="1" max="1" width="9.5" bestFit="1" customWidth="1"/>
    <col min="2" max="2" width="64.75" bestFit="1" customWidth="1"/>
    <col min="3" max="3" width="37.83203125" bestFit="1" customWidth="1"/>
    <col min="4" max="4" width="39.75" bestFit="1" customWidth="1"/>
    <col min="5" max="5" width="60.58203125" customWidth="1"/>
    <col min="6" max="6" width="44.08203125" bestFit="1" customWidth="1"/>
    <col min="7" max="7" width="46.08203125" bestFit="1" customWidth="1"/>
    <col min="8" max="9" width="5.5" bestFit="1" customWidth="1"/>
  </cols>
  <sheetData>
    <row r="1" spans="1:9" x14ac:dyDescent="0.55000000000000004">
      <c r="A1" s="1" t="s">
        <v>0</v>
      </c>
      <c r="B1" s="1" t="s">
        <v>1</v>
      </c>
      <c r="C1" s="1" t="s">
        <v>2</v>
      </c>
      <c r="D1" s="1" t="s">
        <v>3</v>
      </c>
      <c r="E1" s="1" t="s">
        <v>71</v>
      </c>
      <c r="F1" s="1" t="s">
        <v>4</v>
      </c>
      <c r="G1" s="1" t="s">
        <v>5</v>
      </c>
      <c r="H1" s="1" t="s">
        <v>6</v>
      </c>
      <c r="I1" s="1" t="s">
        <v>7</v>
      </c>
    </row>
    <row r="2" spans="1:9" ht="72" x14ac:dyDescent="0.55000000000000004">
      <c r="A2" s="2" t="s">
        <v>41</v>
      </c>
      <c r="B2" s="2" t="s">
        <v>42</v>
      </c>
      <c r="C2" s="2" t="s">
        <v>9</v>
      </c>
      <c r="D2" s="2" t="s">
        <v>43</v>
      </c>
      <c r="E2" s="2" t="s">
        <v>77</v>
      </c>
      <c r="F2" s="2" t="s">
        <v>10</v>
      </c>
      <c r="G2" s="2" t="s">
        <v>11</v>
      </c>
      <c r="H2" s="2" t="s">
        <v>158</v>
      </c>
    </row>
    <row r="3" spans="1:9" ht="72" x14ac:dyDescent="0.55000000000000004">
      <c r="A3" s="2" t="s">
        <v>44</v>
      </c>
      <c r="B3" s="2" t="s">
        <v>45</v>
      </c>
      <c r="C3" s="2" t="s">
        <v>46</v>
      </c>
      <c r="D3" s="2" t="s">
        <v>43</v>
      </c>
      <c r="E3" s="2" t="s">
        <v>78</v>
      </c>
      <c r="F3" s="2" t="s">
        <v>47</v>
      </c>
      <c r="G3" s="2" t="s">
        <v>48</v>
      </c>
      <c r="H3" s="2" t="s">
        <v>158</v>
      </c>
      <c r="I3" s="2"/>
    </row>
    <row r="4" spans="1:9" ht="72" x14ac:dyDescent="0.55000000000000004">
      <c r="A4" s="2" t="s">
        <v>49</v>
      </c>
      <c r="B4" s="2" t="s">
        <v>50</v>
      </c>
      <c r="C4" s="2" t="s">
        <v>51</v>
      </c>
      <c r="D4" s="2" t="s">
        <v>52</v>
      </c>
      <c r="E4" s="2" t="s">
        <v>79</v>
      </c>
      <c r="F4" s="2" t="s">
        <v>53</v>
      </c>
      <c r="G4" s="2" t="s">
        <v>54</v>
      </c>
      <c r="H4" s="2" t="s">
        <v>158</v>
      </c>
      <c r="I4" s="2"/>
    </row>
    <row r="5" spans="1:9" ht="54" x14ac:dyDescent="0.55000000000000004">
      <c r="A5" s="2" t="s">
        <v>55</v>
      </c>
      <c r="B5" s="2" t="s">
        <v>56</v>
      </c>
      <c r="C5" s="2" t="s">
        <v>57</v>
      </c>
      <c r="D5" s="2" t="s">
        <v>58</v>
      </c>
      <c r="E5" s="2" t="s">
        <v>80</v>
      </c>
      <c r="F5" s="2" t="s">
        <v>59</v>
      </c>
      <c r="G5" s="2" t="s">
        <v>60</v>
      </c>
      <c r="H5" s="2" t="s">
        <v>158</v>
      </c>
      <c r="I5" s="2"/>
    </row>
    <row r="6" spans="1:9" ht="54" x14ac:dyDescent="0.55000000000000004">
      <c r="A6" s="2" t="s">
        <v>61</v>
      </c>
      <c r="B6" s="2" t="s">
        <v>62</v>
      </c>
      <c r="C6" s="2" t="s">
        <v>63</v>
      </c>
      <c r="D6" s="2" t="s">
        <v>64</v>
      </c>
      <c r="E6" s="2" t="s">
        <v>81</v>
      </c>
      <c r="F6" s="2" t="s">
        <v>65</v>
      </c>
      <c r="G6" s="2" t="s">
        <v>66</v>
      </c>
      <c r="H6" s="2" t="s">
        <v>158</v>
      </c>
      <c r="I6" s="2"/>
    </row>
    <row r="7" spans="1:9" ht="72" x14ac:dyDescent="0.55000000000000004">
      <c r="A7" s="2" t="s">
        <v>67</v>
      </c>
      <c r="B7" s="2" t="s">
        <v>68</v>
      </c>
      <c r="C7" s="2" t="s">
        <v>69</v>
      </c>
      <c r="D7" s="2" t="s">
        <v>70</v>
      </c>
      <c r="E7" s="2" t="s">
        <v>82</v>
      </c>
      <c r="F7" s="2" t="s">
        <v>17</v>
      </c>
      <c r="G7" s="2" t="s">
        <v>18</v>
      </c>
      <c r="H7" s="2" t="s">
        <v>158</v>
      </c>
      <c r="I7" s="2"/>
    </row>
  </sheetData>
  <phoneticPr fontId="2"/>
  <conditionalFormatting sqref="A3:G7 I3:I7">
    <cfRule type="expression" dxfId="7" priority="3" stopIfTrue="1">
      <formula>$H3="×"</formula>
    </cfRule>
    <cfRule type="expression" dxfId="6" priority="4" stopIfTrue="1">
      <formula>$H3="○"</formula>
    </cfRule>
  </conditionalFormatting>
  <conditionalFormatting sqref="A2:H2 H3:H7">
    <cfRule type="expression" dxfId="5" priority="7" stopIfTrue="1">
      <formula>#REF!="×"</formula>
    </cfRule>
    <cfRule type="expression" dxfId="4" priority="8" stopIfTrue="1">
      <formula>#REF!="○"</formula>
    </cfRule>
  </conditionalFormatting>
  <dataValidations count="1">
    <dataValidation type="list" allowBlank="1" showInputMessage="1" showErrorMessage="1" sqref="H2:H7" xr:uid="{D3E573FB-9B2C-499E-82A5-42624020EC60}">
      <formul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61EC-CDF3-451D-9E91-5C29621BEB04}">
  <dimension ref="A1:I3"/>
  <sheetViews>
    <sheetView workbookViewId="0">
      <selection activeCell="D3" sqref="D3"/>
    </sheetView>
  </sheetViews>
  <sheetFormatPr defaultRowHeight="18" x14ac:dyDescent="0.55000000000000004"/>
  <cols>
    <col min="1" max="1" width="10.58203125" customWidth="1"/>
    <col min="2" max="2" width="25.58203125" customWidth="1"/>
    <col min="3" max="3" width="30.58203125" customWidth="1"/>
    <col min="4" max="4" width="35.58203125" customWidth="1"/>
    <col min="5" max="5" width="50.58203125" customWidth="1"/>
    <col min="6" max="7" width="30.58203125" customWidth="1"/>
    <col min="8" max="8" width="8.58203125" customWidth="1"/>
    <col min="9" max="9" width="20.58203125" customWidth="1"/>
  </cols>
  <sheetData>
    <row r="1" spans="1:9" x14ac:dyDescent="0.55000000000000004">
      <c r="A1" s="3" t="s">
        <v>0</v>
      </c>
      <c r="B1" s="3" t="s">
        <v>1</v>
      </c>
      <c r="C1" s="3" t="s">
        <v>2</v>
      </c>
      <c r="D1" s="3" t="s">
        <v>3</v>
      </c>
      <c r="E1" s="3" t="s">
        <v>100</v>
      </c>
      <c r="F1" s="3" t="s">
        <v>4</v>
      </c>
      <c r="G1" s="3" t="s">
        <v>5</v>
      </c>
      <c r="H1" s="3" t="s">
        <v>6</v>
      </c>
      <c r="I1" s="3" t="s">
        <v>7</v>
      </c>
    </row>
    <row r="2" spans="1:9" ht="90" x14ac:dyDescent="0.55000000000000004">
      <c r="A2" s="2" t="s">
        <v>8</v>
      </c>
      <c r="B2" s="2" t="s">
        <v>101</v>
      </c>
      <c r="C2" s="2" t="s">
        <v>102</v>
      </c>
      <c r="D2" s="2" t="s">
        <v>140</v>
      </c>
      <c r="E2" s="2" t="s">
        <v>141</v>
      </c>
      <c r="F2" s="2" t="s">
        <v>103</v>
      </c>
      <c r="G2" s="2" t="s">
        <v>104</v>
      </c>
      <c r="H2" s="2"/>
      <c r="I2" s="2"/>
    </row>
    <row r="3" spans="1:9" ht="90" x14ac:dyDescent="0.55000000000000004">
      <c r="A3" s="2" t="s">
        <v>12</v>
      </c>
      <c r="B3" s="2" t="s">
        <v>105</v>
      </c>
      <c r="C3" s="2" t="s">
        <v>102</v>
      </c>
      <c r="D3" s="2" t="s">
        <v>142</v>
      </c>
      <c r="E3" s="2" t="s">
        <v>106</v>
      </c>
      <c r="F3" s="2" t="s">
        <v>107</v>
      </c>
      <c r="G3" s="2" t="s">
        <v>108</v>
      </c>
      <c r="H3" s="2"/>
      <c r="I3" s="2" t="s">
        <v>90</v>
      </c>
    </row>
  </sheetData>
  <phoneticPr fontId="2"/>
  <conditionalFormatting sqref="A2:I3">
    <cfRule type="expression" dxfId="3" priority="1" stopIfTrue="1">
      <formula>$H2="×"</formula>
    </cfRule>
    <cfRule type="expression" dxfId="2" priority="2" stopIfTrue="1">
      <formula>$H2="○"</formula>
    </cfRule>
  </conditionalFormatting>
  <dataValidations count="1">
    <dataValidation type="list" allowBlank="1" showInputMessage="1" showErrorMessage="1" sqref="H2:H3" xr:uid="{4B18D214-789C-41D0-8EF3-CEB3CA14A527}">
      <formula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5DDD-C6E3-41B4-A8F8-FDC6784881BB}">
  <dimension ref="A1:I7"/>
  <sheetViews>
    <sheetView topLeftCell="D4" workbookViewId="0">
      <selection activeCell="H4" sqref="H4:H5"/>
    </sheetView>
  </sheetViews>
  <sheetFormatPr defaultRowHeight="18" x14ac:dyDescent="0.55000000000000004"/>
  <cols>
    <col min="1" max="1" width="10.58203125" customWidth="1"/>
    <col min="2" max="2" width="25.58203125" customWidth="1"/>
    <col min="3" max="3" width="30.58203125" customWidth="1"/>
    <col min="4" max="4" width="35.58203125" customWidth="1"/>
    <col min="5" max="5" width="50.58203125" customWidth="1"/>
    <col min="6" max="7" width="30.58203125" customWidth="1"/>
    <col min="8" max="8" width="8.58203125" customWidth="1"/>
    <col min="9" max="9" width="20.58203125" customWidth="1"/>
  </cols>
  <sheetData>
    <row r="1" spans="1:9" x14ac:dyDescent="0.55000000000000004">
      <c r="A1" s="3" t="s">
        <v>0</v>
      </c>
      <c r="B1" s="3" t="s">
        <v>1</v>
      </c>
      <c r="C1" s="3" t="s">
        <v>2</v>
      </c>
      <c r="D1" s="3" t="s">
        <v>3</v>
      </c>
      <c r="E1" s="3" t="s">
        <v>100</v>
      </c>
      <c r="F1" s="3" t="s">
        <v>4</v>
      </c>
      <c r="G1" s="3" t="s">
        <v>5</v>
      </c>
      <c r="H1" s="3" t="s">
        <v>6</v>
      </c>
      <c r="I1" s="3" t="s">
        <v>7</v>
      </c>
    </row>
    <row r="2" spans="1:9" ht="72" x14ac:dyDescent="0.55000000000000004">
      <c r="A2" s="2" t="s">
        <v>152</v>
      </c>
      <c r="B2" s="2" t="s">
        <v>109</v>
      </c>
      <c r="C2" s="2"/>
      <c r="D2" s="2" t="s">
        <v>110</v>
      </c>
      <c r="E2" s="2" t="s">
        <v>111</v>
      </c>
      <c r="F2" s="2" t="s">
        <v>112</v>
      </c>
      <c r="G2" s="2" t="s">
        <v>113</v>
      </c>
      <c r="H2" s="2" t="s">
        <v>158</v>
      </c>
      <c r="I2" s="2"/>
    </row>
    <row r="3" spans="1:9" ht="108" x14ac:dyDescent="0.55000000000000004">
      <c r="A3" s="2" t="s">
        <v>153</v>
      </c>
      <c r="B3" s="2" t="s">
        <v>114</v>
      </c>
      <c r="C3" s="2" t="s">
        <v>115</v>
      </c>
      <c r="D3" s="2" t="s">
        <v>143</v>
      </c>
      <c r="E3" s="2" t="s">
        <v>116</v>
      </c>
      <c r="F3" s="2" t="s">
        <v>117</v>
      </c>
      <c r="G3" s="2" t="s">
        <v>118</v>
      </c>
      <c r="H3" s="2" t="s">
        <v>158</v>
      </c>
      <c r="I3" s="2"/>
    </row>
    <row r="4" spans="1:9" ht="108" x14ac:dyDescent="0.55000000000000004">
      <c r="A4" s="2" t="s">
        <v>154</v>
      </c>
      <c r="B4" s="2" t="s">
        <v>119</v>
      </c>
      <c r="C4" s="2" t="s">
        <v>120</v>
      </c>
      <c r="D4" s="2" t="s">
        <v>144</v>
      </c>
      <c r="E4" s="2" t="s">
        <v>121</v>
      </c>
      <c r="F4" s="2" t="s">
        <v>122</v>
      </c>
      <c r="G4" s="2" t="s">
        <v>123</v>
      </c>
      <c r="H4" s="2" t="s">
        <v>158</v>
      </c>
      <c r="I4" s="2"/>
    </row>
    <row r="5" spans="1:9" ht="108" x14ac:dyDescent="0.55000000000000004">
      <c r="A5" s="2" t="s">
        <v>155</v>
      </c>
      <c r="B5" s="2" t="s">
        <v>124</v>
      </c>
      <c r="C5" s="2" t="s">
        <v>125</v>
      </c>
      <c r="D5" s="2" t="s">
        <v>145</v>
      </c>
      <c r="E5" s="2" t="s">
        <v>126</v>
      </c>
      <c r="F5" s="2" t="s">
        <v>127</v>
      </c>
      <c r="G5" s="2" t="s">
        <v>128</v>
      </c>
      <c r="H5" s="2" t="s">
        <v>158</v>
      </c>
      <c r="I5" s="2"/>
    </row>
    <row r="6" spans="1:9" ht="90" x14ac:dyDescent="0.55000000000000004">
      <c r="A6" s="2" t="s">
        <v>156</v>
      </c>
      <c r="B6" s="2" t="s">
        <v>129</v>
      </c>
      <c r="C6" s="2" t="s">
        <v>130</v>
      </c>
      <c r="D6" s="2" t="s">
        <v>146</v>
      </c>
      <c r="E6" s="2" t="s">
        <v>131</v>
      </c>
      <c r="F6" s="2" t="s">
        <v>132</v>
      </c>
      <c r="G6" s="2" t="s">
        <v>133</v>
      </c>
      <c r="H6" s="2" t="s">
        <v>158</v>
      </c>
      <c r="I6" s="2" t="s">
        <v>87</v>
      </c>
    </row>
    <row r="7" spans="1:9" ht="108" x14ac:dyDescent="0.55000000000000004">
      <c r="A7" s="2" t="s">
        <v>157</v>
      </c>
      <c r="B7" s="2" t="s">
        <v>134</v>
      </c>
      <c r="C7" s="2" t="s">
        <v>135</v>
      </c>
      <c r="D7" s="2" t="s">
        <v>136</v>
      </c>
      <c r="E7" s="2" t="s">
        <v>137</v>
      </c>
      <c r="F7" s="2" t="s">
        <v>138</v>
      </c>
      <c r="G7" s="2" t="s">
        <v>139</v>
      </c>
      <c r="H7" s="2" t="s">
        <v>158</v>
      </c>
      <c r="I7" s="2"/>
    </row>
  </sheetData>
  <phoneticPr fontId="2"/>
  <conditionalFormatting sqref="A2:I7">
    <cfRule type="expression" dxfId="1" priority="1" stopIfTrue="1">
      <formula>$H2="×"</formula>
    </cfRule>
    <cfRule type="expression" dxfId="0" priority="2" stopIfTrue="1">
      <formula>$H2="○"</formula>
    </cfRule>
  </conditionalFormatting>
  <dataValidations count="1">
    <dataValidation type="list" allowBlank="1" showInputMessage="1" showErrorMessage="1" sqref="H2:H7" xr:uid="{DE23D3AC-2183-403E-BED3-2A7CC342523A}">
      <formula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開発フロー</vt:lpstr>
      <vt:lpstr>brainstorming</vt:lpstr>
      <vt:lpstr>receiving-code-review</vt:lpstr>
      <vt:lpstr>update-spec-after-review</vt:lpstr>
      <vt:lpstr>using-superpowers</vt:lpstr>
      <vt:lpstr>load-project-rules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柗本 翔流</dc:creator>
  <cp:lastModifiedBy>柗本 翔流</cp:lastModifiedBy>
  <dcterms:created xsi:type="dcterms:W3CDTF">2026-05-26T07:32:00Z</dcterms:created>
  <dcterms:modified xsi:type="dcterms:W3CDTF">2026-05-28T06:03:17Z</dcterms:modified>
</cp:coreProperties>
</file>